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rojects\BNC_RJ45_adapter\Project Outputs for BNC_RJ45_adapter\"/>
    </mc:Choice>
  </mc:AlternateContent>
  <xr:revisionPtr revIDLastSave="0" documentId="8_{2B6E4D45-24BD-4FFA-B846-69AC2397D744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B15" i="3"/>
  <c r="B14" i="3"/>
  <c r="B13" i="3"/>
  <c r="B12" i="3"/>
  <c r="B11" i="3"/>
  <c r="B10" i="3"/>
  <c r="G8" i="3"/>
  <c r="H8" i="3"/>
</calcChain>
</file>

<file path=xl/sharedStrings.xml><?xml version="1.0" encoding="utf-8"?>
<sst xmlns="http://schemas.openxmlformats.org/spreadsheetml/2006/main" count="111" uniqueCount="94">
  <si>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</si>
  <si>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</si>
  <si>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</si>
  <si>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</si>
  <si>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</si>
  <si>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</si>
  <si>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</si>
  <si>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</si>
  <si>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</si>
  <si>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</si>
  <si>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</si>
  <si>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</si>
  <si>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</si>
  <si>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</si>
  <si>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</si>
  <si>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</si>
  <si>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</si>
  <si>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</si>
  <si>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</si>
  <si>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</si>
  <si>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</si>
  <si>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</si>
  <si>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</si>
  <si>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</si>
  <si>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</si>
  <si>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Project [BNC_RJ45_adapter.PrjPcb] (No PCB Document Selected)</t>
  </si>
  <si>
    <t>BNC_RJ45_adapter.PrjPcb</t>
  </si>
  <si>
    <t>None</t>
  </si>
  <si>
    <t>17.03.2022</t>
  </si>
  <si>
    <t>09:19</t>
  </si>
  <si>
    <t>51</t>
  </si>
  <si>
    <t>Quantity</t>
  </si>
  <si>
    <t>Designator</t>
  </si>
  <si>
    <t>C1_RJ1, C1_RJ2, C1_RJ3, C1_RJ4, C1_RJ5, C1_RJ6, C1_RJ7, C1_RJ8</t>
  </si>
  <si>
    <t>C2</t>
  </si>
  <si>
    <t>J1_RJ1, J1_RJ2, J1_RJ3, J1_RJ4, J1_RJ5, J1_RJ6, J1_RJ7, J1_RJ8</t>
  </si>
  <si>
    <t>J2</t>
  </si>
  <si>
    <t>R1_RJ1, R1_RJ2, R1_RJ3, R1_RJ4, R1_RJ5, R1_RJ6, R1_RJ7, R1_RJ8, R3_RJ1, R3_RJ2, R3_RJ3, R3_RJ4, R3_RJ5, R3_RJ6, R3_RJ7, R3_RJ8, R4_RJ1, R4_RJ2, R4_RJ3, R4_RJ4, R4_RJ5, R4_RJ6, R4_RJ7, R4_RJ8</t>
  </si>
  <si>
    <t>R2_RJ1, R2_RJ2, R2_RJ3, R2_RJ4, R2_RJ5, R2_RJ6, R2_RJ7, R2_RJ8</t>
  </si>
  <si>
    <t>R6</t>
  </si>
  <si>
    <t>Manufacturer</t>
  </si>
  <si>
    <t>KEMET</t>
  </si>
  <si>
    <t>Wuerth Elektronik</t>
  </si>
  <si>
    <t>TE</t>
  </si>
  <si>
    <t>Amphenol</t>
  </si>
  <si>
    <t>Yageo</t>
  </si>
  <si>
    <t>Panasonic</t>
  </si>
  <si>
    <t>ROHM</t>
  </si>
  <si>
    <t>Manufacturer Part Number</t>
  </si>
  <si>
    <t>C0805C103K3RACTU</t>
  </si>
  <si>
    <t>885342008009</t>
  </si>
  <si>
    <t>1-1478032-0</t>
  </si>
  <si>
    <t>RJHSE538002</t>
  </si>
  <si>
    <t>RC0805JR-100RL</t>
  </si>
  <si>
    <t>ERJ-8ENF1002V</t>
  </si>
  <si>
    <t>KTR18EZPF1004</t>
  </si>
  <si>
    <t>Value</t>
  </si>
  <si>
    <t>0.01 µF</t>
  </si>
  <si>
    <t>100 pF</t>
  </si>
  <si>
    <t>0R</t>
  </si>
  <si>
    <t>10k</t>
  </si>
  <si>
    <t>1M</t>
  </si>
  <si>
    <t>Description</t>
  </si>
  <si>
    <t>Capacitor 0805, 25 VDC, 0.01 µF, X7R</t>
  </si>
  <si>
    <t>Capacitor 1206, 1 kVDC, 100 pF, C0G</t>
  </si>
  <si>
    <t>BNC Connector</t>
  </si>
  <si>
    <t>CAT5, RJ45 Connector, 1x2</t>
  </si>
  <si>
    <t>SMD resistor 5%</t>
  </si>
  <si>
    <t>SMD resistor 1%</t>
  </si>
  <si>
    <t>SMD resistor 0.1%</t>
  </si>
  <si>
    <t>Device Package</t>
  </si>
  <si>
    <t>0805</t>
  </si>
  <si>
    <t>1206</t>
  </si>
  <si>
    <t>BNC</t>
  </si>
  <si>
    <t>RJ45</t>
  </si>
  <si>
    <t>Supplier 1</t>
  </si>
  <si>
    <t>Mouser</t>
  </si>
  <si>
    <t>Digi-Key</t>
  </si>
  <si>
    <t>Farnell</t>
  </si>
  <si>
    <t>Supplier Part Number 1</t>
  </si>
  <si>
    <t>80-C0805C103K3R</t>
  </si>
  <si>
    <t>710-885342008009</t>
  </si>
  <si>
    <t>A97560-ND</t>
  </si>
  <si>
    <t>1860605</t>
  </si>
  <si>
    <t>603-RC0805JR-100RL</t>
  </si>
  <si>
    <t>667-ERJ-8ENF1002V</t>
  </si>
  <si>
    <t>2802466</t>
  </si>
  <si>
    <t>#Column Name Error:' Supplier 2</t>
  </si>
  <si>
    <t>#Column Name Error:' Supplier Part Number 2</t>
  </si>
  <si>
    <t>C:\Users\Public\Documents\Altium\Projects\BNC_RJ45_adapter\BNC_RJ45_adapter.PrjPcb</t>
  </si>
  <si>
    <t>17.03.2022 09:19</t>
  </si>
  <si>
    <t>Bill of Materials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</si>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</sst>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3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horizontal="right"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7" borderId="30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5"/>
  <sheetViews>
    <sheetView showGridLines="0" tabSelected="1" zoomScaleNormal="100" workbookViewId="0">
      <selection activeCell="L26" sqref="L26"/>
    </sheetView>
  </sheetViews>
  <sheetFormatPr baseColWidth="10" defaultColWidth="9.109375" defaultRowHeight="13.2" x14ac:dyDescent="0.25"/>
  <cols>
    <col min="1" max="1" width="3.109375" style="1" customWidth="1"/>
    <col min="2" max="2" width="5.44140625" style="1" customWidth="1"/>
    <col min="3" max="3" width="7.33203125" style="1" customWidth="1"/>
    <col min="4" max="4" width="20.44140625" style="4" customWidth="1"/>
    <col min="5" max="5" width="23.33203125" style="4" customWidth="1"/>
    <col min="6" max="6" width="18.109375" style="4" customWidth="1"/>
    <col min="7" max="7" width="20" style="4" customWidth="1"/>
    <col min="8" max="8" width="19" style="1" customWidth="1"/>
    <col min="9" max="9" width="12.44140625" style="1" customWidth="1"/>
    <col min="10" max="13" width="13.109375" style="1" customWidth="1"/>
    <col min="14" max="14" width="17.88671875" style="1" customWidth="1"/>
    <col min="15" max="15" width="10" style="1" customWidth="1"/>
    <col min="16" max="16384" width="9.109375" style="1"/>
  </cols>
  <sheetData>
    <row r="1" spans="1:15" ht="13.8" thickBot="1" x14ac:dyDescent="0.3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3">
      <c r="A2" s="38"/>
      <c r="B2" s="29"/>
      <c r="C2" s="29" t="s">
        <v>22</v>
      </c>
      <c r="E2" s="30"/>
      <c r="F2" s="65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5">
      <c r="A3" s="38"/>
      <c r="B3" s="18"/>
      <c r="C3" s="18" t="s">
        <v>14</v>
      </c>
      <c r="E3" s="66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5">
      <c r="A4" s="38"/>
      <c r="B4" s="18"/>
      <c r="C4" s="18" t="s">
        <v>15</v>
      </c>
      <c r="E4" s="67" t="s">
        <v>26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5">
      <c r="A5" s="38"/>
      <c r="B5" s="18"/>
      <c r="C5" s="18" t="s">
        <v>16</v>
      </c>
      <c r="E5" s="68" t="s">
        <v>27</v>
      </c>
      <c r="F5" s="24"/>
      <c r="G5" s="19"/>
      <c r="I5" s="20"/>
      <c r="J5" s="20"/>
      <c r="K5" s="20"/>
      <c r="L5" s="20"/>
      <c r="M5" s="20"/>
      <c r="N5" s="21"/>
    </row>
    <row r="6" spans="1:15" x14ac:dyDescent="0.25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5">
      <c r="A7" s="38"/>
      <c r="B7" s="28"/>
      <c r="C7" s="28" t="s">
        <v>18</v>
      </c>
      <c r="D7" s="28"/>
      <c r="E7" s="28"/>
      <c r="F7" s="28"/>
      <c r="G7" s="69" t="s">
        <v>28</v>
      </c>
      <c r="H7" s="69" t="s">
        <v>29</v>
      </c>
      <c r="I7" s="28"/>
      <c r="J7" s="28"/>
      <c r="K7" s="28"/>
      <c r="L7" s="28"/>
      <c r="M7" s="28"/>
      <c r="N7" s="21"/>
    </row>
    <row r="8" spans="1:15" ht="15.75" customHeight="1" x14ac:dyDescent="0.25">
      <c r="A8" s="38"/>
      <c r="B8" s="24"/>
      <c r="C8" s="24" t="s">
        <v>17</v>
      </c>
      <c r="E8" s="24"/>
      <c r="F8" s="24"/>
      <c r="G8" s="48">
        <f ca="1">TODAY()</f>
        <v>44637</v>
      </c>
      <c r="H8" s="47">
        <f ca="1">NOW()</f>
        <v>44637.388903125</v>
      </c>
      <c r="I8" s="28"/>
      <c r="J8" s="28"/>
      <c r="K8" s="28"/>
      <c r="L8" s="28"/>
      <c r="M8" s="28"/>
      <c r="N8" s="21"/>
    </row>
    <row r="9" spans="1:15" s="2" customFormat="1" ht="18" customHeight="1" x14ac:dyDescent="0.25">
      <c r="A9" s="38"/>
      <c r="B9" s="44" t="s">
        <v>20</v>
      </c>
      <c r="C9" s="51" t="s">
        <v>31</v>
      </c>
      <c r="D9" s="45" t="s">
        <v>32</v>
      </c>
      <c r="E9" s="45" t="s">
        <v>40</v>
      </c>
      <c r="F9" s="45" t="s">
        <v>48</v>
      </c>
      <c r="G9" s="45" t="s">
        <v>56</v>
      </c>
      <c r="H9" s="45" t="s">
        <v>62</v>
      </c>
      <c r="I9" s="45" t="s">
        <v>70</v>
      </c>
      <c r="J9" s="45" t="s">
        <v>75</v>
      </c>
      <c r="K9" s="45" t="s">
        <v>79</v>
      </c>
      <c r="L9" s="45" t="s">
        <v>87</v>
      </c>
      <c r="M9" s="45" t="s">
        <v>88</v>
      </c>
      <c r="N9" s="46" t="s">
        <v>24</v>
      </c>
    </row>
    <row r="10" spans="1:15" s="3" customFormat="1" ht="13.5" customHeight="1" x14ac:dyDescent="0.25">
      <c r="A10" s="38"/>
      <c r="B10" s="49">
        <f>ROW(B10) - ROW($B$9)</f>
        <v>1</v>
      </c>
      <c r="C10" s="63">
        <v>8</v>
      </c>
      <c r="D10" s="56" t="s">
        <v>33</v>
      </c>
      <c r="E10" s="56" t="s">
        <v>41</v>
      </c>
      <c r="F10" s="56" t="s">
        <v>49</v>
      </c>
      <c r="G10" s="57" t="s">
        <v>57</v>
      </c>
      <c r="H10" s="57" t="s">
        <v>63</v>
      </c>
      <c r="I10" s="57" t="s">
        <v>71</v>
      </c>
      <c r="J10" s="58" t="s">
        <v>76</v>
      </c>
      <c r="K10" s="58" t="s">
        <v>80</v>
      </c>
      <c r="L10" s="58"/>
      <c r="M10" s="58"/>
      <c r="N10" s="59"/>
    </row>
    <row r="11" spans="1:15" s="3" customFormat="1" ht="13.5" customHeight="1" x14ac:dyDescent="0.25">
      <c r="A11" s="38"/>
      <c r="B11" s="50">
        <f>ROW(B11) - ROW($B$9)</f>
        <v>2</v>
      </c>
      <c r="C11" s="64">
        <v>1</v>
      </c>
      <c r="D11" s="60" t="s">
        <v>34</v>
      </c>
      <c r="E11" s="60" t="s">
        <v>42</v>
      </c>
      <c r="F11" s="60" t="s">
        <v>50</v>
      </c>
      <c r="G11" s="60" t="s">
        <v>58</v>
      </c>
      <c r="H11" s="60" t="s">
        <v>64</v>
      </c>
      <c r="I11" s="60" t="s">
        <v>72</v>
      </c>
      <c r="J11" s="61" t="s">
        <v>76</v>
      </c>
      <c r="K11" s="61" t="s">
        <v>81</v>
      </c>
      <c r="L11" s="61"/>
      <c r="M11" s="61"/>
      <c r="N11" s="62"/>
    </row>
    <row r="12" spans="1:15" s="3" customFormat="1" ht="13.5" customHeight="1" x14ac:dyDescent="0.25">
      <c r="A12" s="38"/>
      <c r="B12" s="49">
        <f>ROW(B12) - ROW($B$9)</f>
        <v>3</v>
      </c>
      <c r="C12" s="63">
        <v>8</v>
      </c>
      <c r="D12" s="56" t="s">
        <v>35</v>
      </c>
      <c r="E12" s="56" t="s">
        <v>43</v>
      </c>
      <c r="F12" s="56" t="s">
        <v>51</v>
      </c>
      <c r="G12" s="57"/>
      <c r="H12" s="57" t="s">
        <v>65</v>
      </c>
      <c r="I12" s="57" t="s">
        <v>73</v>
      </c>
      <c r="J12" s="58" t="s">
        <v>77</v>
      </c>
      <c r="K12" s="58" t="s">
        <v>82</v>
      </c>
      <c r="L12" s="58"/>
      <c r="M12" s="58"/>
      <c r="N12" s="59"/>
    </row>
    <row r="13" spans="1:15" s="3" customFormat="1" ht="13.5" customHeight="1" x14ac:dyDescent="0.25">
      <c r="A13" s="38"/>
      <c r="B13" s="50">
        <f>ROW(B13) - ROW($B$9)</f>
        <v>4</v>
      </c>
      <c r="C13" s="64">
        <v>1</v>
      </c>
      <c r="D13" s="60" t="s">
        <v>36</v>
      </c>
      <c r="E13" s="60" t="s">
        <v>44</v>
      </c>
      <c r="F13" s="60" t="s">
        <v>52</v>
      </c>
      <c r="G13" s="60"/>
      <c r="H13" s="60" t="s">
        <v>66</v>
      </c>
      <c r="I13" s="60" t="s">
        <v>74</v>
      </c>
      <c r="J13" s="61" t="s">
        <v>78</v>
      </c>
      <c r="K13" s="61" t="s">
        <v>83</v>
      </c>
      <c r="L13" s="61"/>
      <c r="M13" s="61"/>
      <c r="N13" s="62"/>
    </row>
    <row r="14" spans="1:15" s="3" customFormat="1" ht="13.5" customHeight="1" x14ac:dyDescent="0.25">
      <c r="A14" s="38"/>
      <c r="B14" s="49">
        <f>ROW(B14) - ROW($B$9)</f>
        <v>5</v>
      </c>
      <c r="C14" s="63">
        <v>24</v>
      </c>
      <c r="D14" s="56" t="s">
        <v>37</v>
      </c>
      <c r="E14" s="56" t="s">
        <v>45</v>
      </c>
      <c r="F14" s="56" t="s">
        <v>53</v>
      </c>
      <c r="G14" s="57" t="s">
        <v>59</v>
      </c>
      <c r="H14" s="57" t="s">
        <v>67</v>
      </c>
      <c r="I14" s="57" t="s">
        <v>71</v>
      </c>
      <c r="J14" s="58" t="s">
        <v>76</v>
      </c>
      <c r="K14" s="58" t="s">
        <v>84</v>
      </c>
      <c r="L14" s="58"/>
      <c r="M14" s="58"/>
      <c r="N14" s="59"/>
    </row>
    <row r="15" spans="1:15" s="3" customFormat="1" ht="13.5" customHeight="1" x14ac:dyDescent="0.25">
      <c r="A15" s="38"/>
      <c r="B15" s="50">
        <f>ROW(B15) - ROW($B$9)</f>
        <v>6</v>
      </c>
      <c r="C15" s="64">
        <v>8</v>
      </c>
      <c r="D15" s="60" t="s">
        <v>38</v>
      </c>
      <c r="E15" s="60" t="s">
        <v>46</v>
      </c>
      <c r="F15" s="60" t="s">
        <v>54</v>
      </c>
      <c r="G15" s="60" t="s">
        <v>60</v>
      </c>
      <c r="H15" s="60" t="s">
        <v>68</v>
      </c>
      <c r="I15" s="60" t="s">
        <v>72</v>
      </c>
      <c r="J15" s="61" t="s">
        <v>76</v>
      </c>
      <c r="K15" s="61" t="s">
        <v>85</v>
      </c>
      <c r="L15" s="61"/>
      <c r="M15" s="61"/>
      <c r="N15" s="62"/>
    </row>
    <row r="16" spans="1:15" s="3" customFormat="1" ht="13.5" customHeight="1" x14ac:dyDescent="0.25">
      <c r="A16" s="38"/>
      <c r="B16" s="49">
        <f>ROW(B16) - ROW($B$9)</f>
        <v>7</v>
      </c>
      <c r="C16" s="63">
        <v>1</v>
      </c>
      <c r="D16" s="56" t="s">
        <v>39</v>
      </c>
      <c r="E16" s="56" t="s">
        <v>47</v>
      </c>
      <c r="F16" s="56" t="s">
        <v>55</v>
      </c>
      <c r="G16" s="57" t="s">
        <v>61</v>
      </c>
      <c r="H16" s="57" t="s">
        <v>69</v>
      </c>
      <c r="I16" s="57" t="s">
        <v>72</v>
      </c>
      <c r="J16" s="58" t="s">
        <v>78</v>
      </c>
      <c r="K16" s="58" t="s">
        <v>86</v>
      </c>
      <c r="L16" s="58"/>
      <c r="M16" s="58"/>
      <c r="N16" s="59"/>
    </row>
    <row r="17" spans="1:14" x14ac:dyDescent="0.25">
      <c r="A17" s="38"/>
      <c r="B17" s="55" t="s">
        <v>23</v>
      </c>
      <c r="C17" s="70" t="s">
        <v>30</v>
      </c>
      <c r="D17" s="52"/>
      <c r="E17" s="36"/>
      <c r="F17" s="35"/>
      <c r="G17" s="34"/>
      <c r="H17" s="5" t="s">
        <v>19</v>
      </c>
      <c r="J17" s="54"/>
      <c r="K17" s="54"/>
      <c r="L17" s="54"/>
      <c r="M17" s="54"/>
      <c r="N17" s="53"/>
    </row>
    <row r="18" spans="1:14" x14ac:dyDescent="0.25">
      <c r="A18" s="38"/>
      <c r="B18" s="8"/>
      <c r="C18" s="8"/>
      <c r="D18" s="8"/>
      <c r="E18" s="8"/>
      <c r="F18" s="7"/>
      <c r="G18" s="9"/>
      <c r="H18" s="6"/>
      <c r="I18" s="6"/>
      <c r="J18" s="7"/>
      <c r="K18" s="7"/>
      <c r="L18" s="7"/>
      <c r="M18" s="7"/>
      <c r="N18" s="14"/>
    </row>
    <row r="19" spans="1:14" x14ac:dyDescent="0.25">
      <c r="A19" s="38"/>
      <c r="B19" s="8"/>
      <c r="C19" s="8"/>
      <c r="D19" s="8"/>
      <c r="E19" s="8"/>
      <c r="F19" s="8"/>
      <c r="G19" s="10"/>
      <c r="H19" s="7"/>
      <c r="I19" s="7"/>
      <c r="J19" s="7"/>
      <c r="K19" s="7"/>
      <c r="L19" s="7"/>
      <c r="M19" s="7"/>
      <c r="N19" s="15"/>
    </row>
    <row r="20" spans="1:14" x14ac:dyDescent="0.25">
      <c r="A20" s="38"/>
      <c r="B20" s="8"/>
      <c r="C20" s="8"/>
      <c r="D20" s="8"/>
      <c r="E20" s="8"/>
      <c r="F20" s="8"/>
      <c r="G20" s="10"/>
      <c r="H20" s="7"/>
      <c r="I20" s="7" t="s">
        <v>21</v>
      </c>
      <c r="J20" s="7"/>
      <c r="K20" s="7"/>
      <c r="L20" s="7"/>
      <c r="M20" s="7"/>
      <c r="N20" s="15"/>
    </row>
    <row r="21" spans="1:14" ht="13.8" thickBot="1" x14ac:dyDescent="0.3">
      <c r="A21" s="38"/>
      <c r="B21" s="33"/>
      <c r="C21" s="13"/>
      <c r="D21" s="13"/>
      <c r="E21" s="13"/>
      <c r="F21" s="13"/>
      <c r="G21" s="11"/>
      <c r="H21" s="12"/>
      <c r="I21" s="12"/>
      <c r="J21" s="12"/>
      <c r="K21" s="12"/>
      <c r="L21" s="12"/>
      <c r="M21" s="12"/>
      <c r="N21" s="16"/>
    </row>
    <row r="23" spans="1:14" x14ac:dyDescent="0.25">
      <c r="D23" s="1"/>
      <c r="E23" s="1"/>
      <c r="F23" s="1"/>
      <c r="G23" s="1"/>
    </row>
    <row r="24" spans="1:14" x14ac:dyDescent="0.25">
      <c r="D24" s="1"/>
      <c r="E24" s="1"/>
      <c r="F24" s="1"/>
      <c r="G24" s="1"/>
    </row>
    <row r="25" spans="1:14" x14ac:dyDescent="0.25">
      <c r="D25" s="1"/>
      <c r="E25" s="1"/>
      <c r="F25" s="1"/>
      <c r="G25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09375"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32" t="s">
        <v>0</v>
      </c>
      <c r="B1" s="71" t="s">
        <v>89</v>
      </c>
    </row>
    <row r="2" spans="1:2" x14ac:dyDescent="0.25">
      <c r="A2" s="31" t="s">
        <v>1</v>
      </c>
      <c r="B2" s="72" t="s">
        <v>26</v>
      </c>
    </row>
    <row r="3" spans="1:2" x14ac:dyDescent="0.25">
      <c r="A3" s="32" t="s">
        <v>2</v>
      </c>
      <c r="B3" s="73" t="s">
        <v>27</v>
      </c>
    </row>
    <row r="4" spans="1:2" x14ac:dyDescent="0.25">
      <c r="A4" s="31" t="s">
        <v>3</v>
      </c>
      <c r="B4" s="72" t="s">
        <v>26</v>
      </c>
    </row>
    <row r="5" spans="1:2" x14ac:dyDescent="0.25">
      <c r="A5" s="32" t="s">
        <v>4</v>
      </c>
      <c r="B5" s="73" t="s">
        <v>89</v>
      </c>
    </row>
    <row r="6" spans="1:2" x14ac:dyDescent="0.25">
      <c r="A6" s="31" t="s">
        <v>5</v>
      </c>
      <c r="B6" s="72" t="s">
        <v>25</v>
      </c>
    </row>
    <row r="7" spans="1:2" x14ac:dyDescent="0.25">
      <c r="A7" s="32" t="s">
        <v>6</v>
      </c>
      <c r="B7" s="73" t="s">
        <v>30</v>
      </c>
    </row>
    <row r="8" spans="1:2" x14ac:dyDescent="0.25">
      <c r="A8" s="31" t="s">
        <v>7</v>
      </c>
      <c r="B8" s="72" t="s">
        <v>29</v>
      </c>
    </row>
    <row r="9" spans="1:2" x14ac:dyDescent="0.25">
      <c r="A9" s="32" t="s">
        <v>8</v>
      </c>
      <c r="B9" s="73" t="s">
        <v>28</v>
      </c>
    </row>
    <row r="10" spans="1:2" x14ac:dyDescent="0.25">
      <c r="A10" s="31" t="s">
        <v>9</v>
      </c>
      <c r="B10" s="72" t="s">
        <v>90</v>
      </c>
    </row>
    <row r="11" spans="1:2" x14ac:dyDescent="0.25">
      <c r="A11" s="32" t="s">
        <v>10</v>
      </c>
      <c r="B11" s="73" t="s">
        <v>91</v>
      </c>
    </row>
    <row r="12" spans="1:2" x14ac:dyDescent="0.25">
      <c r="A12" s="31" t="s">
        <v>11</v>
      </c>
      <c r="B12" s="72" t="s">
        <v>92</v>
      </c>
    </row>
    <row r="13" spans="1:2" x14ac:dyDescent="0.25">
      <c r="A13" s="32" t="s">
        <v>12</v>
      </c>
      <c r="B13" s="73" t="s">
        <v>93</v>
      </c>
    </row>
    <row r="14" spans="1:2" x14ac:dyDescent="0.25">
      <c r="A14" s="31" t="s">
        <v>13</v>
      </c>
      <c r="B14" s="72" t="s">
        <v>91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Admin</cp:lastModifiedBy>
  <cp:lastPrinted>2005-05-16T01:11:50Z</cp:lastPrinted>
  <dcterms:created xsi:type="dcterms:W3CDTF">2002-11-05T15:28:02Z</dcterms:created>
  <dcterms:modified xsi:type="dcterms:W3CDTF">2022-03-17T08:20:01Z</dcterms:modified>
</cp:coreProperties>
</file>